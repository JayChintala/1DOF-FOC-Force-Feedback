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jayis\Projects\1DOF-FOC-Force-Feedback\"/>
    </mc:Choice>
  </mc:AlternateContent>
  <xr:revisionPtr revIDLastSave="0" documentId="13_ncr:1_{BFCDDA29-52BA-4F2F-9016-E3C51CE8E703}" xr6:coauthVersionLast="47" xr6:coauthVersionMax="47" xr10:uidLastSave="{00000000-0000-0000-0000-000000000000}"/>
  <bookViews>
    <workbookView xWindow="15264" yWindow="0" windowWidth="15552" windowHeight="166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E9" i="1"/>
  <c r="F9" i="1" s="1"/>
  <c r="F8" i="1"/>
  <c r="F7" i="1"/>
  <c r="F6" i="1"/>
  <c r="F5" i="1"/>
  <c r="F4" i="1"/>
  <c r="F3" i="1"/>
  <c r="F2" i="1"/>
  <c r="F1" i="1"/>
  <c r="F13" i="1" s="1"/>
</calcChain>
</file>

<file path=xl/sharedStrings.xml><?xml version="1.0" encoding="utf-8"?>
<sst xmlns="http://schemas.openxmlformats.org/spreadsheetml/2006/main" count="27" uniqueCount="20">
  <si>
    <t>ESC</t>
  </si>
  <si>
    <t>DigiKey</t>
  </si>
  <si>
    <t>https://www.digikey.com/en/products/detail/stmicroelectronics/B-G431B-ESC1/10321670</t>
  </si>
  <si>
    <t>Magnetic Encoder</t>
  </si>
  <si>
    <t>https://www.digikey.com/en/products/detail/ams-osram-usa-inc/AS5047P-ADAPTERBOARD/5452344</t>
  </si>
  <si>
    <t>Motor</t>
  </si>
  <si>
    <t>RCTimer</t>
  </si>
  <si>
    <t>https://www.rctimer.com/rctimer-gbm2804-hollow-shaft-brushless-gimbal-motor-p0445.html</t>
  </si>
  <si>
    <t>USB-CAN Adapter</t>
  </si>
  <si>
    <t>ODrive</t>
  </si>
  <si>
    <t>https://shop.odriverobotics.com/products/usb-can-adapter</t>
  </si>
  <si>
    <t>Magnets</t>
  </si>
  <si>
    <t>https://www.digikey.com/en/products/detail/radial-magnets-inc/8995/5126077</t>
  </si>
  <si>
    <t>12V Power Supply</t>
  </si>
  <si>
    <t>Amazon</t>
  </si>
  <si>
    <t>https://www.amazon.com/Towisituati-100V-240V-Converter-Transformer-Connector/dp/B0F4X4J3SL/ref=sr_1_6?crid=2540MOC58HED1&amp;dib=eyJ2IjoiMSJ9.PYWD828vV2b5kV5LnpTZBeF6XqCTnRbYqKlC4v680_OXOOi0p44urKCjc_Y0GJ1tJfakL-ceRcGHOxu_84mRdzvDY8frX-CuSdalss393g7QWGPPzqiASbKtCapaNrzmtGAH0d7nsO9QOHstRhykyclJSZ9fzbk3T5Sp3EjnL2tm1SBikvxV42LBFBbCrYdmkPV9hMeIFupXLco3_FFEZA-SPqInSktBDW78O8kCbaA.AadlrM6WTfXi9kMbDy1qXMCagpHDnCZPLpAh01uOpf8&amp;dib_tag=se&amp;keywords=12v+power+supply+with+terminals&amp;qid=1779682028&amp;sprefix=12v+power+supply+wi%2Caps%2C111&amp;sr=8-6#customerReviews</t>
  </si>
  <si>
    <t xml:space="preserve">Tariff Estimate </t>
  </si>
  <si>
    <t xml:space="preserve">Shipping </t>
  </si>
  <si>
    <t>Shipping + Tariff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</si>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</sst>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434343"/>
      <name val="Roboto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11">
    <border>
      <left/>
      <right/>
      <top/>
      <bottom/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/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/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6">
    <xf numFmtId="0" fontId="0" fillId="0" borderId="0" xfId="0"/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2" fillId="2" borderId="2" xfId="2" applyFill="1" applyBorder="1" applyAlignment="1">
      <alignment vertical="center" wrapText="1"/>
    </xf>
    <xf numFmtId="0" fontId="3" fillId="2" borderId="2" xfId="0" applyFont="1" applyFill="1" applyBorder="1" applyAlignment="1">
      <alignment horizontal="right" vertical="center" wrapText="1"/>
    </xf>
    <xf numFmtId="44" fontId="3" fillId="2" borderId="2" xfId="1" applyFont="1" applyFill="1" applyBorder="1" applyAlignment="1">
      <alignment horizontal="right" vertical="center" wrapText="1"/>
    </xf>
    <xf numFmtId="44" fontId="3" fillId="2" borderId="3" xfId="1" applyFont="1" applyFill="1" applyBorder="1" applyAlignment="1">
      <alignment horizontal="right" vertical="center" wrapText="1"/>
    </xf>
    <xf numFmtId="0" fontId="3" fillId="3" borderId="4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vertical="center" wrapText="1"/>
    </xf>
    <xf numFmtId="0" fontId="2" fillId="3" borderId="5" xfId="2" applyFill="1" applyBorder="1" applyAlignment="1">
      <alignment vertical="center" wrapText="1"/>
    </xf>
    <xf numFmtId="0" fontId="3" fillId="3" borderId="5" xfId="0" applyFont="1" applyFill="1" applyBorder="1" applyAlignment="1">
      <alignment horizontal="right" vertical="center" wrapText="1"/>
    </xf>
    <xf numFmtId="44" fontId="3" fillId="3" borderId="5" xfId="1" applyFont="1" applyFill="1" applyBorder="1" applyAlignment="1">
      <alignment horizontal="right" vertical="center" wrapText="1"/>
    </xf>
    <xf numFmtId="0" fontId="4" fillId="3" borderId="5" xfId="0" applyFont="1" applyFill="1" applyBorder="1" applyAlignment="1">
      <alignment vertical="center" wrapText="1"/>
    </xf>
    <xf numFmtId="44" fontId="4" fillId="3" borderId="5" xfId="1" applyFont="1" applyFill="1" applyBorder="1" applyAlignment="1">
      <alignment vertical="center" wrapText="1"/>
    </xf>
    <xf numFmtId="0" fontId="3" fillId="3" borderId="6" xfId="0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 wrapText="1"/>
    </xf>
    <xf numFmtId="44" fontId="4" fillId="3" borderId="7" xfId="1" applyFont="1" applyFill="1" applyBorder="1" applyAlignment="1">
      <alignment vertical="center" wrapText="1"/>
    </xf>
    <xf numFmtId="0" fontId="4" fillId="2" borderId="2" xfId="0" applyFont="1" applyFill="1" applyBorder="1" applyAlignment="1">
      <alignment vertical="center" wrapText="1"/>
    </xf>
    <xf numFmtId="44" fontId="4" fillId="2" borderId="2" xfId="1" applyFont="1" applyFill="1" applyBorder="1" applyAlignment="1">
      <alignment vertical="center" wrapText="1"/>
    </xf>
    <xf numFmtId="0" fontId="3" fillId="2" borderId="8" xfId="0" applyFont="1" applyFill="1" applyBorder="1" applyAlignment="1">
      <alignment vertical="center" wrapText="1"/>
    </xf>
    <xf numFmtId="0" fontId="3" fillId="2" borderId="9" xfId="0" applyFont="1" applyFill="1" applyBorder="1" applyAlignment="1">
      <alignment vertical="center" wrapText="1"/>
    </xf>
    <xf numFmtId="0" fontId="4" fillId="2" borderId="9" xfId="0" applyFont="1" applyFill="1" applyBorder="1" applyAlignment="1">
      <alignment vertical="center" wrapText="1"/>
    </xf>
    <xf numFmtId="44" fontId="4" fillId="2" borderId="9" xfId="1" applyFont="1" applyFill="1" applyBorder="1" applyAlignment="1">
      <alignment vertical="center" wrapText="1"/>
    </xf>
    <xf numFmtId="0" fontId="4" fillId="0" borderId="10" xfId="0" applyFont="1" applyBorder="1" applyAlignment="1">
      <alignment wrapText="1"/>
    </xf>
    <xf numFmtId="44" fontId="4" fillId="0" borderId="10" xfId="1" applyFont="1" applyBorder="1" applyAlignment="1">
      <alignment wrapText="1"/>
    </xf>
    <xf numFmtId="44" fontId="4" fillId="0" borderId="10" xfId="1" applyFont="1" applyBorder="1" applyAlignment="1">
      <alignment horizontal="right" wrapText="1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rctimer.com/rctimer-gbm2804-hollow-shaft-brushless-gimbal-motor-p0445.html" TargetMode="External"/><Relationship Id="rId2" Type="http://schemas.openxmlformats.org/officeDocument/2006/relationships/hyperlink" Target="https://www.digikey.com/en/products/detail/ams-osram-usa-inc/AS5047P-ADAPTERBOARD/5452344" TargetMode="External"/><Relationship Id="rId1" Type="http://schemas.openxmlformats.org/officeDocument/2006/relationships/hyperlink" Target="https://www.digikey.com/en/products/detail/stmicroelectronics/B-G431B-ESC1/10321670" TargetMode="External"/><Relationship Id="rId6" Type="http://schemas.openxmlformats.org/officeDocument/2006/relationships/hyperlink" Target="https://www.amazon.com/Towisituati-100V-240V-Converter-Transformer-Connector/dp/B0F4X4J3SL/ref=sr_1_6?crid=2540MOC58HED1&amp;dib=eyJ2IjoiMSJ9.PYWD828vV2b5kV5LnpTZBeF6XqCTnRbYqKlC4v680_OXOOi0p44urKCjc_Y0GJ1tJfakL-ceRcGHOxu_84mRdzvDY8frX-CuSdalss393g7QWGPPzqiASbKtCapaNrzmtGAH0d7nsO9QOHstRhykyclJSZ9fzbk3T5Sp3EjnL2tm1SBikvxV42LBFBbCrYdmkPV9hMeIFupXLco3_FFEZA-SPqInSktBDW78O8kCbaA.AadlrM6WTfXi9kMbDy1qXMCagpHDnCZPLpAh01uOpf8&amp;dib_tag=se&amp;keywords=12v+power+supply+with+terminals&amp;qid=1779682028&amp;sprefix=12v+power+supply+wi%2Caps%2C111&amp;sr=8-6" TargetMode="External"/><Relationship Id="rId5" Type="http://schemas.openxmlformats.org/officeDocument/2006/relationships/hyperlink" Target="https://www.digikey.com/en/products/detail/radial-magnets-inc/8995/5126077" TargetMode="External"/><Relationship Id="rId4" Type="http://schemas.openxmlformats.org/officeDocument/2006/relationships/hyperlink" Target="https://shop.odriverobotics.com/products/usb-can-adapt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tabSelected="1" topLeftCell="C1" workbookViewId="0">
      <selection activeCell="E18" sqref="E18"/>
    </sheetView>
  </sheetViews>
  <sheetFormatPr defaultRowHeight="14.4" x14ac:dyDescent="0.3"/>
  <cols>
    <col min="2" max="2" width="8.21875" bestFit="1" customWidth="1"/>
    <col min="3" max="3" width="104.77734375" bestFit="1" customWidth="1"/>
    <col min="4" max="4" width="3.21875" bestFit="1" customWidth="1"/>
    <col min="5" max="5" width="7.88671875" bestFit="1" customWidth="1"/>
    <col min="6" max="6" width="8.6640625" bestFit="1" customWidth="1"/>
  </cols>
  <sheetData>
    <row r="1" spans="1:6" ht="15" thickBot="1" x14ac:dyDescent="0.35">
      <c r="A1" s="1" t="s">
        <v>0</v>
      </c>
      <c r="B1" s="2" t="s">
        <v>1</v>
      </c>
      <c r="C1" s="3" t="s">
        <v>2</v>
      </c>
      <c r="D1" s="4">
        <v>2</v>
      </c>
      <c r="E1" s="5">
        <v>39.53</v>
      </c>
      <c r="F1" s="6">
        <f>D1*E1</f>
        <v>79.06</v>
      </c>
    </row>
    <row r="2" spans="1:6" ht="27" thickBot="1" x14ac:dyDescent="0.35">
      <c r="A2" s="7" t="s">
        <v>3</v>
      </c>
      <c r="B2" s="8" t="s">
        <v>1</v>
      </c>
      <c r="C2" s="9" t="s">
        <v>4</v>
      </c>
      <c r="D2" s="10">
        <v>2</v>
      </c>
      <c r="E2" s="11">
        <v>19.399999999999999</v>
      </c>
      <c r="F2" s="6">
        <f t="shared" ref="F2:F10" si="0">D2*E2</f>
        <v>38.799999999999997</v>
      </c>
    </row>
    <row r="3" spans="1:6" ht="15" thickBot="1" x14ac:dyDescent="0.35">
      <c r="A3" s="1" t="s">
        <v>5</v>
      </c>
      <c r="B3" s="2" t="s">
        <v>6</v>
      </c>
      <c r="C3" s="3" t="s">
        <v>7</v>
      </c>
      <c r="D3" s="4">
        <v>3</v>
      </c>
      <c r="E3" s="5">
        <v>10.94</v>
      </c>
      <c r="F3" s="6">
        <f t="shared" si="0"/>
        <v>32.82</v>
      </c>
    </row>
    <row r="4" spans="1:6" ht="27" thickBot="1" x14ac:dyDescent="0.35">
      <c r="A4" s="7" t="s">
        <v>8</v>
      </c>
      <c r="B4" s="8" t="s">
        <v>9</v>
      </c>
      <c r="C4" s="9" t="s">
        <v>10</v>
      </c>
      <c r="D4" s="10">
        <v>1</v>
      </c>
      <c r="E4" s="11">
        <v>37</v>
      </c>
      <c r="F4" s="6">
        <f t="shared" si="0"/>
        <v>37</v>
      </c>
    </row>
    <row r="5" spans="1:6" ht="15" thickBot="1" x14ac:dyDescent="0.35">
      <c r="A5" s="1" t="s">
        <v>11</v>
      </c>
      <c r="B5" s="2" t="s">
        <v>1</v>
      </c>
      <c r="C5" s="3" t="s">
        <v>12</v>
      </c>
      <c r="D5" s="4">
        <v>10</v>
      </c>
      <c r="E5" s="5">
        <v>0.33</v>
      </c>
      <c r="F5" s="6">
        <f t="shared" si="0"/>
        <v>3.3000000000000003</v>
      </c>
    </row>
    <row r="6" spans="1:6" ht="101.4" thickBot="1" x14ac:dyDescent="0.35">
      <c r="A6" s="7" t="s">
        <v>13</v>
      </c>
      <c r="B6" s="12" t="s">
        <v>14</v>
      </c>
      <c r="C6" s="9" t="s">
        <v>15</v>
      </c>
      <c r="D6" s="12">
        <v>1</v>
      </c>
      <c r="E6" s="13">
        <v>20</v>
      </c>
      <c r="F6" s="6">
        <f t="shared" si="0"/>
        <v>20</v>
      </c>
    </row>
    <row r="7" spans="1:6" ht="27" thickBot="1" x14ac:dyDescent="0.35">
      <c r="A7" s="14" t="s">
        <v>16</v>
      </c>
      <c r="B7" s="15" t="s">
        <v>1</v>
      </c>
      <c r="C7" s="15"/>
      <c r="D7" s="15">
        <v>1</v>
      </c>
      <c r="E7" s="16">
        <v>18.71</v>
      </c>
      <c r="F7" s="6">
        <f t="shared" si="0"/>
        <v>18.71</v>
      </c>
    </row>
    <row r="8" spans="1:6" ht="15" thickBot="1" x14ac:dyDescent="0.35">
      <c r="A8" s="1" t="s">
        <v>17</v>
      </c>
      <c r="B8" s="2" t="s">
        <v>1</v>
      </c>
      <c r="C8" s="17"/>
      <c r="D8" s="17">
        <v>1</v>
      </c>
      <c r="E8" s="18">
        <v>6.99</v>
      </c>
      <c r="F8" s="6">
        <f t="shared" si="0"/>
        <v>6.99</v>
      </c>
    </row>
    <row r="9" spans="1:6" ht="27" thickBot="1" x14ac:dyDescent="0.35">
      <c r="A9" s="7" t="s">
        <v>18</v>
      </c>
      <c r="B9" s="8" t="s">
        <v>9</v>
      </c>
      <c r="C9" s="12"/>
      <c r="D9" s="12">
        <v>1</v>
      </c>
      <c r="E9" s="13">
        <f>10.83+3.7</f>
        <v>14.530000000000001</v>
      </c>
      <c r="F9" s="6">
        <f t="shared" si="0"/>
        <v>14.530000000000001</v>
      </c>
    </row>
    <row r="10" spans="1:6" ht="27" thickBot="1" x14ac:dyDescent="0.35">
      <c r="A10" s="19" t="s">
        <v>18</v>
      </c>
      <c r="B10" s="20" t="s">
        <v>6</v>
      </c>
      <c r="C10" s="21"/>
      <c r="D10" s="21">
        <v>1</v>
      </c>
      <c r="E10" s="22">
        <v>17</v>
      </c>
      <c r="F10" s="6">
        <f t="shared" si="0"/>
        <v>17</v>
      </c>
    </row>
    <row r="11" spans="1:6" ht="15" thickBot="1" x14ac:dyDescent="0.35">
      <c r="A11" s="23"/>
      <c r="B11" s="23"/>
      <c r="C11" s="23"/>
      <c r="D11" s="23"/>
      <c r="E11" s="23"/>
      <c r="F11" s="24"/>
    </row>
    <row r="12" spans="1:6" ht="15" thickBot="1" x14ac:dyDescent="0.35">
      <c r="A12" s="23"/>
      <c r="B12" s="23"/>
      <c r="C12" s="23"/>
      <c r="D12" s="23"/>
      <c r="E12" s="23"/>
      <c r="F12" s="24"/>
    </row>
    <row r="13" spans="1:6" ht="15" thickBot="1" x14ac:dyDescent="0.35">
      <c r="A13" s="23"/>
      <c r="B13" s="23"/>
      <c r="C13" s="23"/>
      <c r="D13" s="23"/>
      <c r="E13" s="23" t="s">
        <v>19</v>
      </c>
      <c r="F13" s="25">
        <f>SUM(F1:F10)</f>
        <v>268.21000000000004</v>
      </c>
    </row>
  </sheetData>
  <hyperlinks>
    <hyperlink ref="C1" r:id="rId1" xr:uid="{DE81C74D-39DA-44B8-9B02-BC70964207B3}"/>
    <hyperlink ref="C2" r:id="rId2" xr:uid="{68173086-9C2C-464B-BC9F-B4049250A5D5}"/>
    <hyperlink ref="C3" r:id="rId3" xr:uid="{EF06FAB2-E561-4A38-879B-49B58CCD194E}"/>
    <hyperlink ref="C4" r:id="rId4" xr:uid="{62715946-B9F2-452F-A822-308EB3792819}"/>
    <hyperlink ref="C5" r:id="rId5" xr:uid="{AE3BA2FD-EADF-4525-9F8D-B1661B189940}"/>
    <hyperlink ref="C6" r:id="rId6" location="customerReviews" display="https://www.amazon.com/Towisituati-100V-240V-Converter-Transformer-Connector/dp/B0F4X4J3SL/ref=sr_1_6?crid=2540MOC58HED1&amp;dib=eyJ2IjoiMSJ9.PYWD828vV2b5kV5LnpTZBeF6XqCTnRbYqKlC4v680_OXOOi0p44urKCjc_Y0GJ1tJfakL-ceRcGHOxu_84mRdzvDY8frX-CuSdalss393g7QWGPPzqiASbKtCapaNrzmtGAH0d7nsO9QOHstRhykyclJSZ9fzbk3T5Sp3EjnL2tm1SBikvxV42LBFBbCrYdmkPV9hMeIFupXLco3_FFEZA-SPqInSktBDW78O8kCbaA.AadlrM6WTfXi9kMbDy1qXMCagpHDnCZPLpAh01uOpf8&amp;dib_tag=se&amp;keywords=12v+power+supply+with+terminals&amp;qid=1779682028&amp;sprefix=12v+power+supply+wi%2Caps%2C111&amp;sr=8-6#customerReviews" xr:uid="{9735080A-9B61-4143-B5C9-9A168F6FD29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 Chintala</dc:creator>
  <cp:lastModifiedBy>Jayanth Chintala</cp:lastModifiedBy>
  <dcterms:created xsi:type="dcterms:W3CDTF">2015-06-05T18:17:20Z</dcterms:created>
  <dcterms:modified xsi:type="dcterms:W3CDTF">2026-06-08T17:43:54Z</dcterms:modified>
</cp:coreProperties>
</file>